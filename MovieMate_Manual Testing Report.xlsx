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internship-6\"/>
    </mc:Choice>
  </mc:AlternateContent>
  <xr:revisionPtr revIDLastSave="0" documentId="13_ncr:1_{7E6D8DD8-E9F6-4310-A749-3D8F550147A1}" xr6:coauthVersionLast="47" xr6:coauthVersionMax="47" xr10:uidLastSave="{00000000-0000-0000-0000-000000000000}"/>
  <bookViews>
    <workbookView xWindow="-110" yWindow="-110" windowWidth="19420" windowHeight="10300" activeTab="4" xr2:uid="{00000000-000D-0000-FFFF-FFFF00000000}"/>
  </bookViews>
  <sheets>
    <sheet name="Test_Plan" sheetId="1" r:id="rId1"/>
    <sheet name="RTM" sheetId="2" r:id="rId2"/>
    <sheet name="Manual Test Cases" sheetId="9" r:id="rId3"/>
    <sheet name="Test_Execution" sheetId="4" r:id="rId4"/>
    <sheet name="Bug Reports" sheetId="10" r:id="rId5"/>
    <sheet name="API Testing" sheetId="11" r:id="rId6"/>
    <sheet name="UI Testing" sheetId="12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8" i="4" l="1"/>
  <c r="E7" i="4"/>
  <c r="E6" i="4"/>
  <c r="E5" i="4"/>
  <c r="E4" i="4"/>
  <c r="E3" i="4"/>
</calcChain>
</file>

<file path=xl/sharedStrings.xml><?xml version="1.0" encoding="utf-8"?>
<sst xmlns="http://schemas.openxmlformats.org/spreadsheetml/2006/main" count="524" uniqueCount="260">
  <si>
    <t>Test_Plan</t>
  </si>
  <si>
    <t>Project</t>
  </si>
  <si>
    <t>MovieMate</t>
  </si>
  <si>
    <t>Testing Type</t>
  </si>
  <si>
    <t>Manual, API, Mobile, UI</t>
  </si>
  <si>
    <t>Scope</t>
  </si>
  <si>
    <t>Authentication, Movies, Booking, Payment, Profile</t>
  </si>
  <si>
    <t>Entry Criteria</t>
  </si>
  <si>
    <t>Build available</t>
  </si>
  <si>
    <t>Exit Criteria</t>
  </si>
  <si>
    <t>Critical bugs resolved</t>
  </si>
  <si>
    <t>RTM</t>
  </si>
  <si>
    <t>Req ID</t>
  </si>
  <si>
    <t>Requirement</t>
  </si>
  <si>
    <t>Priority</t>
  </si>
  <si>
    <t>Mapped Test Cases</t>
  </si>
  <si>
    <t>Coverage</t>
  </si>
  <si>
    <t>R001</t>
  </si>
  <si>
    <t>Login</t>
  </si>
  <si>
    <t>High</t>
  </si>
  <si>
    <t>TC001-TC004</t>
  </si>
  <si>
    <t>Yes</t>
  </si>
  <si>
    <t>R002</t>
  </si>
  <si>
    <t>Register</t>
  </si>
  <si>
    <t>TC005-TC007</t>
  </si>
  <si>
    <t>R003</t>
  </si>
  <si>
    <t>Search</t>
  </si>
  <si>
    <t>Medium</t>
  </si>
  <si>
    <t>TC008-TC010</t>
  </si>
  <si>
    <t>R004</t>
  </si>
  <si>
    <t>Booking</t>
  </si>
  <si>
    <t>TC011-TC014</t>
  </si>
  <si>
    <t>R005</t>
  </si>
  <si>
    <t>Payment</t>
  </si>
  <si>
    <t>Critical</t>
  </si>
  <si>
    <t>TC015-TC017</t>
  </si>
  <si>
    <t>R006</t>
  </si>
  <si>
    <t>Profile</t>
  </si>
  <si>
    <t>TC018-TC020</t>
  </si>
  <si>
    <t>Module</t>
  </si>
  <si>
    <t>Scenario</t>
  </si>
  <si>
    <t>Expected</t>
  </si>
  <si>
    <t>Actual</t>
  </si>
  <si>
    <t>Status</t>
  </si>
  <si>
    <t>Pass</t>
  </si>
  <si>
    <t>Fail</t>
  </si>
  <si>
    <t>Registration</t>
  </si>
  <si>
    <t>Test_Execution</t>
  </si>
  <si>
    <t>Total</t>
  </si>
  <si>
    <t>Passed</t>
  </si>
  <si>
    <t>Failed</t>
  </si>
  <si>
    <t>Execution %</t>
  </si>
  <si>
    <t>Bug ID</t>
  </si>
  <si>
    <t>Severity</t>
  </si>
  <si>
    <t>Open</t>
  </si>
  <si>
    <t>Invalid card accepted</t>
  </si>
  <si>
    <t>Low</t>
  </si>
  <si>
    <t>Method</t>
  </si>
  <si>
    <t>/login</t>
  </si>
  <si>
    <t>POST</t>
  </si>
  <si>
    <t>/register</t>
  </si>
  <si>
    <t>/movies</t>
  </si>
  <si>
    <t>GET</t>
  </si>
  <si>
    <t>/movie/{id}</t>
  </si>
  <si>
    <t>/booking</t>
  </si>
  <si>
    <t>/payment</t>
  </si>
  <si>
    <t>/profile</t>
  </si>
  <si>
    <t>Movie Search</t>
  </si>
  <si>
    <t>Seat Booking</t>
  </si>
  <si>
    <t>Summary</t>
  </si>
  <si>
    <t>TC ID</t>
  </si>
  <si>
    <t>Expected Result</t>
  </si>
  <si>
    <t>TC-001</t>
  </si>
  <si>
    <t>Login Scenario 1</t>
  </si>
  <si>
    <t>Login works correctly</t>
  </si>
  <si>
    <t>TC-002</t>
  </si>
  <si>
    <t>Login Scenario 2</t>
  </si>
  <si>
    <t>TC-003</t>
  </si>
  <si>
    <t>Login Scenario 3</t>
  </si>
  <si>
    <t>TC-004</t>
  </si>
  <si>
    <t>Login Scenario 4</t>
  </si>
  <si>
    <t>TC-005</t>
  </si>
  <si>
    <t>Login Scenario 5</t>
  </si>
  <si>
    <t>TC-006</t>
  </si>
  <si>
    <t>Login Scenario 6</t>
  </si>
  <si>
    <t>TC-007</t>
  </si>
  <si>
    <t>Login Scenario 7</t>
  </si>
  <si>
    <t>TC-008</t>
  </si>
  <si>
    <t>Login Scenario 8</t>
  </si>
  <si>
    <t>TC-009</t>
  </si>
  <si>
    <t>Registration Scenario 1</t>
  </si>
  <si>
    <t>Registration works correctly</t>
  </si>
  <si>
    <t>TC-010</t>
  </si>
  <si>
    <t>Registration Scenario 2</t>
  </si>
  <si>
    <t>TC-011</t>
  </si>
  <si>
    <t>Registration Scenario 3</t>
  </si>
  <si>
    <t>TC-012</t>
  </si>
  <si>
    <t>Registration Scenario 4</t>
  </si>
  <si>
    <t>TC-013</t>
  </si>
  <si>
    <t>Registration Scenario 5</t>
  </si>
  <si>
    <t>TC-014</t>
  </si>
  <si>
    <t>Registration Scenario 6</t>
  </si>
  <si>
    <t>TC-015</t>
  </si>
  <si>
    <t>Registration Scenario 7</t>
  </si>
  <si>
    <t>TC-016</t>
  </si>
  <si>
    <t>Registration Scenario 8</t>
  </si>
  <si>
    <t>TC-017</t>
  </si>
  <si>
    <t>Registration Scenario 9</t>
  </si>
  <si>
    <t>TC-018</t>
  </si>
  <si>
    <t>Registration Scenario 10</t>
  </si>
  <si>
    <t>TC-019</t>
  </si>
  <si>
    <t>Movie Search Scenario 1</t>
  </si>
  <si>
    <t>Movie Search works correctly</t>
  </si>
  <si>
    <t>TC-020</t>
  </si>
  <si>
    <t>Movie Search Scenario 2</t>
  </si>
  <si>
    <t>TC-021</t>
  </si>
  <si>
    <t>Movie Search Scenario 3</t>
  </si>
  <si>
    <t>TC-022</t>
  </si>
  <si>
    <t>Movie Search Scenario 4</t>
  </si>
  <si>
    <t>TC-023</t>
  </si>
  <si>
    <t>Movie Search Scenario 5</t>
  </si>
  <si>
    <t>TC-024</t>
  </si>
  <si>
    <t>Movie Search Scenario 6</t>
  </si>
  <si>
    <t>TC-025</t>
  </si>
  <si>
    <t>Movie Search Scenario 7</t>
  </si>
  <si>
    <t>TC-026</t>
  </si>
  <si>
    <t>Seat Booking Scenario 1</t>
  </si>
  <si>
    <t>Seat Booking works correctly</t>
  </si>
  <si>
    <t>TC-027</t>
  </si>
  <si>
    <t>Seat Booking Scenario 2</t>
  </si>
  <si>
    <t>TC-028</t>
  </si>
  <si>
    <t>Seat Booking Scenario 3</t>
  </si>
  <si>
    <t>TC-029</t>
  </si>
  <si>
    <t>Seat Booking Scenario 4</t>
  </si>
  <si>
    <t>TC-030</t>
  </si>
  <si>
    <t>Seat Booking Scenario 5</t>
  </si>
  <si>
    <t>TC-031</t>
  </si>
  <si>
    <t>Seat Booking Scenario 6</t>
  </si>
  <si>
    <t>TC-032</t>
  </si>
  <si>
    <t>Seat Booking Scenario 7</t>
  </si>
  <si>
    <t>TC-033</t>
  </si>
  <si>
    <t>Seat Booking Scenario 8</t>
  </si>
  <si>
    <t>TC-034</t>
  </si>
  <si>
    <t>Seat Booking Scenario 9</t>
  </si>
  <si>
    <t>TC-035</t>
  </si>
  <si>
    <t>Seat Booking Scenario 10</t>
  </si>
  <si>
    <t>TC-036</t>
  </si>
  <si>
    <t>Seat Booking Scenario 11</t>
  </si>
  <si>
    <t>TC-037</t>
  </si>
  <si>
    <t>Seat Booking Scenario 12</t>
  </si>
  <si>
    <t>TC-038</t>
  </si>
  <si>
    <t>Payment Scenario 1</t>
  </si>
  <si>
    <t>Payment works correctly</t>
  </si>
  <si>
    <t>TC-039</t>
  </si>
  <si>
    <t>Payment Scenario 2</t>
  </si>
  <si>
    <t>TC-040</t>
  </si>
  <si>
    <t>Payment Scenario 3</t>
  </si>
  <si>
    <t>TC-041</t>
  </si>
  <si>
    <t>Payment Scenario 4</t>
  </si>
  <si>
    <t>TC-042</t>
  </si>
  <si>
    <t>Payment Scenario 5</t>
  </si>
  <si>
    <t>TC-043</t>
  </si>
  <si>
    <t>Payment Scenario 6</t>
  </si>
  <si>
    <t>TC-044</t>
  </si>
  <si>
    <t>Payment Scenario 7</t>
  </si>
  <si>
    <t>TC-045</t>
  </si>
  <si>
    <t>Payment Scenario 8</t>
  </si>
  <si>
    <t>TC-046</t>
  </si>
  <si>
    <t>Payment Scenario 9</t>
  </si>
  <si>
    <t>TC-047</t>
  </si>
  <si>
    <t>Profile Scenario 1</t>
  </si>
  <si>
    <t>Profile works correctly</t>
  </si>
  <si>
    <t>TC-048</t>
  </si>
  <si>
    <t>Profile Scenario 2</t>
  </si>
  <si>
    <t>TC-049</t>
  </si>
  <si>
    <t>Profile Scenario 3</t>
  </si>
  <si>
    <t>TC-050</t>
  </si>
  <si>
    <t>Profile Scenario 4</t>
  </si>
  <si>
    <t>TC-051</t>
  </si>
  <si>
    <t>Profile Scenario 5</t>
  </si>
  <si>
    <t>TC-052</t>
  </si>
  <si>
    <t>Profile Scenario 6</t>
  </si>
  <si>
    <t>TC-053</t>
  </si>
  <si>
    <t>Profile Scenario 7</t>
  </si>
  <si>
    <t>TC-054</t>
  </si>
  <si>
    <t>Profile Scenario 8</t>
  </si>
  <si>
    <t>TC-055</t>
  </si>
  <si>
    <t>Profile Scenario 9</t>
  </si>
  <si>
    <t>TC-056</t>
  </si>
  <si>
    <t>Profile Scenario 10</t>
  </si>
  <si>
    <t>BUG-001</t>
  </si>
  <si>
    <t>Login button enabled with blank fields</t>
  </si>
  <si>
    <t>BUG-002</t>
  </si>
  <si>
    <t>Duplicate email accepted</t>
  </si>
  <si>
    <t>BUG-003</t>
  </si>
  <si>
    <t>Special character search fails</t>
  </si>
  <si>
    <t>BUG-004</t>
  </si>
  <si>
    <t>Duplicate seat booking allowed</t>
  </si>
  <si>
    <t>BUG-005</t>
  </si>
  <si>
    <t>Booked seat selectable</t>
  </si>
  <si>
    <t>BUG-006</t>
  </si>
  <si>
    <t>Seat count mismatch</t>
  </si>
  <si>
    <t>BUG-007</t>
  </si>
  <si>
    <t>BUG-008</t>
  </si>
  <si>
    <t>Profile image not updated</t>
  </si>
  <si>
    <t>BUG-009</t>
  </si>
  <si>
    <t>Password visibility issue</t>
  </si>
  <si>
    <t>BUG-010</t>
  </si>
  <si>
    <t>Weak password accepted</t>
  </si>
  <si>
    <t>BUG-011</t>
  </si>
  <si>
    <t>Movie details not refreshed</t>
  </si>
  <si>
    <t>BUG-012</t>
  </si>
  <si>
    <t>Booking created after failed payment</t>
  </si>
  <si>
    <t>BUG-013</t>
  </si>
  <si>
    <t>Booking history sorting incorrect</t>
  </si>
  <si>
    <t>API ID</t>
  </si>
  <si>
    <t>Endpoint</t>
  </si>
  <si>
    <t>API-01</t>
  </si>
  <si>
    <t>Valid registration</t>
  </si>
  <si>
    <t>201</t>
  </si>
  <si>
    <t>API-02</t>
  </si>
  <si>
    <t>Valid login</t>
  </si>
  <si>
    <t>200</t>
  </si>
  <si>
    <t>API-03</t>
  </si>
  <si>
    <t>Fetch movies</t>
  </si>
  <si>
    <t>API-04</t>
  </si>
  <si>
    <t>Fetch details</t>
  </si>
  <si>
    <t>API-05</t>
  </si>
  <si>
    <t>Book seat</t>
  </si>
  <si>
    <t>500</t>
  </si>
  <si>
    <t>API-06</t>
  </si>
  <si>
    <t>Valid payment</t>
  </si>
  <si>
    <t>400</t>
  </si>
  <si>
    <t>API-07</t>
  </si>
  <si>
    <t>Fetch profile</t>
  </si>
  <si>
    <t>UI ID</t>
  </si>
  <si>
    <t>Screen</t>
  </si>
  <si>
    <t>Test Scenario</t>
  </si>
  <si>
    <t>UI-01</t>
  </si>
  <si>
    <t>Alignment</t>
  </si>
  <si>
    <t>Proper alignment</t>
  </si>
  <si>
    <t>UI-02</t>
  </si>
  <si>
    <t>Validation</t>
  </si>
  <si>
    <t>Validation shown</t>
  </si>
  <si>
    <t>UI-03</t>
  </si>
  <si>
    <t>Home</t>
  </si>
  <si>
    <t>Responsive</t>
  </si>
  <si>
    <t>UI-04</t>
  </si>
  <si>
    <t>Movie Details</t>
  </si>
  <si>
    <t>Text layout</t>
  </si>
  <si>
    <t>No overlap</t>
  </si>
  <si>
    <t>UI-05</t>
  </si>
  <si>
    <t>Seat color</t>
  </si>
  <si>
    <t>Correct color</t>
  </si>
  <si>
    <t>UI-06</t>
  </si>
  <si>
    <t>Button</t>
  </si>
  <si>
    <t>Aligned</t>
  </si>
  <si>
    <t>UI-07</t>
  </si>
  <si>
    <t>Profile image</t>
  </si>
  <si>
    <t>Updated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</si>
</sst>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workbookViewId="0"/>
  </sheetViews>
  <sheetFormatPr defaultRowHeight="14.5" x14ac:dyDescent="0.35"/>
  <cols>
    <col min="1" max="1" width="11.7265625" customWidth="1"/>
  </cols>
  <sheetData>
    <row r="1" spans="1:2" x14ac:dyDescent="0.35">
      <c r="A1" s="1" t="s">
        <v>0</v>
      </c>
    </row>
    <row r="3" spans="1:2" x14ac:dyDescent="0.35">
      <c r="A3" t="s">
        <v>1</v>
      </c>
      <c r="B3" t="s">
        <v>2</v>
      </c>
    </row>
    <row r="4" spans="1:2" x14ac:dyDescent="0.35">
      <c r="A4" t="s">
        <v>3</v>
      </c>
      <c r="B4" t="s">
        <v>4</v>
      </c>
    </row>
    <row r="5" spans="1:2" x14ac:dyDescent="0.35">
      <c r="A5" t="s">
        <v>5</v>
      </c>
      <c r="B5" t="s">
        <v>6</v>
      </c>
    </row>
    <row r="6" spans="1:2" x14ac:dyDescent="0.35">
      <c r="A6" t="s">
        <v>7</v>
      </c>
      <c r="B6" t="s">
        <v>8</v>
      </c>
    </row>
    <row r="7" spans="1:2" x14ac:dyDescent="0.35">
      <c r="A7" t="s">
        <v>9</v>
      </c>
      <c r="B7" t="s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8"/>
  <sheetViews>
    <sheetView workbookViewId="0"/>
  </sheetViews>
  <sheetFormatPr defaultRowHeight="14.5" x14ac:dyDescent="0.35"/>
  <cols>
    <col min="2" max="2" width="13.08984375" customWidth="1"/>
    <col min="4" max="4" width="10.1796875" customWidth="1"/>
  </cols>
  <sheetData>
    <row r="1" spans="1:5" x14ac:dyDescent="0.35">
      <c r="A1" s="1" t="s">
        <v>11</v>
      </c>
    </row>
    <row r="2" spans="1:5" x14ac:dyDescent="0.35">
      <c r="A2" t="s">
        <v>12</v>
      </c>
      <c r="B2" t="s">
        <v>13</v>
      </c>
      <c r="C2" t="s">
        <v>14</v>
      </c>
      <c r="D2" t="s">
        <v>15</v>
      </c>
      <c r="E2" t="s">
        <v>16</v>
      </c>
    </row>
    <row r="3" spans="1:5" x14ac:dyDescent="0.35">
      <c r="A3" t="s">
        <v>17</v>
      </c>
      <c r="B3" t="s">
        <v>18</v>
      </c>
      <c r="C3" t="s">
        <v>19</v>
      </c>
      <c r="D3" t="s">
        <v>20</v>
      </c>
      <c r="E3" t="s">
        <v>21</v>
      </c>
    </row>
    <row r="4" spans="1:5" x14ac:dyDescent="0.35">
      <c r="A4" t="s">
        <v>22</v>
      </c>
      <c r="B4" t="s">
        <v>23</v>
      </c>
      <c r="C4" t="s">
        <v>19</v>
      </c>
      <c r="D4" t="s">
        <v>24</v>
      </c>
      <c r="E4" t="s">
        <v>21</v>
      </c>
    </row>
    <row r="5" spans="1:5" x14ac:dyDescent="0.35">
      <c r="A5" t="s">
        <v>25</v>
      </c>
      <c r="B5" t="s">
        <v>26</v>
      </c>
      <c r="C5" t="s">
        <v>27</v>
      </c>
      <c r="D5" t="s">
        <v>28</v>
      </c>
      <c r="E5" t="s">
        <v>21</v>
      </c>
    </row>
    <row r="6" spans="1:5" x14ac:dyDescent="0.35">
      <c r="A6" t="s">
        <v>29</v>
      </c>
      <c r="B6" t="s">
        <v>30</v>
      </c>
      <c r="C6" t="s">
        <v>19</v>
      </c>
      <c r="D6" t="s">
        <v>31</v>
      </c>
      <c r="E6" t="s">
        <v>21</v>
      </c>
    </row>
    <row r="7" spans="1:5" x14ac:dyDescent="0.35">
      <c r="A7" t="s">
        <v>32</v>
      </c>
      <c r="B7" t="s">
        <v>33</v>
      </c>
      <c r="C7" t="s">
        <v>34</v>
      </c>
      <c r="D7" t="s">
        <v>35</v>
      </c>
      <c r="E7" t="s">
        <v>21</v>
      </c>
    </row>
    <row r="8" spans="1:5" x14ac:dyDescent="0.35">
      <c r="A8" t="s">
        <v>36</v>
      </c>
      <c r="B8" t="s">
        <v>37</v>
      </c>
      <c r="C8" t="s">
        <v>27</v>
      </c>
      <c r="D8" t="s">
        <v>38</v>
      </c>
      <c r="E8" t="s">
        <v>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57"/>
  <sheetViews>
    <sheetView topLeftCell="B11" workbookViewId="0">
      <selection activeCell="F21" sqref="F21"/>
    </sheetView>
  </sheetViews>
  <sheetFormatPr defaultRowHeight="14.5" x14ac:dyDescent="0.35"/>
  <cols>
    <col min="4" max="4" width="15.81640625" customWidth="1"/>
  </cols>
  <sheetData>
    <row r="1" spans="1:5" x14ac:dyDescent="0.35">
      <c r="A1" s="2" t="s">
        <v>70</v>
      </c>
      <c r="B1" s="2" t="s">
        <v>39</v>
      </c>
      <c r="C1" s="2" t="s">
        <v>40</v>
      </c>
      <c r="D1" s="2" t="s">
        <v>71</v>
      </c>
      <c r="E1" s="2" t="s">
        <v>43</v>
      </c>
    </row>
    <row r="2" spans="1:5" x14ac:dyDescent="0.35">
      <c r="A2" t="s">
        <v>72</v>
      </c>
      <c r="B2" t="s">
        <v>18</v>
      </c>
      <c r="C2" t="s">
        <v>73</v>
      </c>
      <c r="D2" t="s">
        <v>74</v>
      </c>
      <c r="E2" t="s">
        <v>44</v>
      </c>
    </row>
    <row r="3" spans="1:5" x14ac:dyDescent="0.35">
      <c r="A3" t="s">
        <v>75</v>
      </c>
      <c r="B3" t="s">
        <v>18</v>
      </c>
      <c r="C3" t="s">
        <v>76</v>
      </c>
      <c r="D3" t="s">
        <v>74</v>
      </c>
      <c r="E3" t="s">
        <v>44</v>
      </c>
    </row>
    <row r="4" spans="1:5" x14ac:dyDescent="0.35">
      <c r="A4" t="s">
        <v>77</v>
      </c>
      <c r="B4" t="s">
        <v>18</v>
      </c>
      <c r="C4" t="s">
        <v>78</v>
      </c>
      <c r="D4" t="s">
        <v>74</v>
      </c>
      <c r="E4" t="s">
        <v>44</v>
      </c>
    </row>
    <row r="5" spans="1:5" x14ac:dyDescent="0.35">
      <c r="A5" t="s">
        <v>79</v>
      </c>
      <c r="B5" t="s">
        <v>18</v>
      </c>
      <c r="C5" t="s">
        <v>80</v>
      </c>
      <c r="D5" t="s">
        <v>74</v>
      </c>
      <c r="E5" t="s">
        <v>44</v>
      </c>
    </row>
    <row r="6" spans="1:5" x14ac:dyDescent="0.35">
      <c r="A6" t="s">
        <v>81</v>
      </c>
      <c r="B6" t="s">
        <v>18</v>
      </c>
      <c r="C6" t="s">
        <v>82</v>
      </c>
      <c r="D6" t="s">
        <v>74</v>
      </c>
      <c r="E6" t="s">
        <v>44</v>
      </c>
    </row>
    <row r="7" spans="1:5" x14ac:dyDescent="0.35">
      <c r="A7" t="s">
        <v>83</v>
      </c>
      <c r="B7" t="s">
        <v>18</v>
      </c>
      <c r="C7" t="s">
        <v>84</v>
      </c>
      <c r="D7" t="s">
        <v>74</v>
      </c>
      <c r="E7" t="s">
        <v>44</v>
      </c>
    </row>
    <row r="8" spans="1:5" x14ac:dyDescent="0.35">
      <c r="A8" t="s">
        <v>85</v>
      </c>
      <c r="B8" t="s">
        <v>18</v>
      </c>
      <c r="C8" t="s">
        <v>86</v>
      </c>
      <c r="D8" t="s">
        <v>74</v>
      </c>
      <c r="E8" t="s">
        <v>44</v>
      </c>
    </row>
    <row r="9" spans="1:5" x14ac:dyDescent="0.35">
      <c r="A9" t="s">
        <v>87</v>
      </c>
      <c r="B9" t="s">
        <v>18</v>
      </c>
      <c r="C9" t="s">
        <v>88</v>
      </c>
      <c r="D9" t="s">
        <v>74</v>
      </c>
      <c r="E9" t="s">
        <v>45</v>
      </c>
    </row>
    <row r="10" spans="1:5" x14ac:dyDescent="0.35">
      <c r="A10" t="s">
        <v>89</v>
      </c>
      <c r="B10" t="s">
        <v>46</v>
      </c>
      <c r="C10" t="s">
        <v>90</v>
      </c>
      <c r="D10" t="s">
        <v>91</v>
      </c>
      <c r="E10" t="s">
        <v>44</v>
      </c>
    </row>
    <row r="11" spans="1:5" x14ac:dyDescent="0.35">
      <c r="A11" t="s">
        <v>92</v>
      </c>
      <c r="B11" t="s">
        <v>46</v>
      </c>
      <c r="C11" t="s">
        <v>93</v>
      </c>
      <c r="D11" t="s">
        <v>91</v>
      </c>
      <c r="E11" t="s">
        <v>44</v>
      </c>
    </row>
    <row r="12" spans="1:5" x14ac:dyDescent="0.35">
      <c r="A12" t="s">
        <v>94</v>
      </c>
      <c r="B12" t="s">
        <v>46</v>
      </c>
      <c r="C12" t="s">
        <v>95</v>
      </c>
      <c r="D12" t="s">
        <v>91</v>
      </c>
      <c r="E12" t="s">
        <v>44</v>
      </c>
    </row>
    <row r="13" spans="1:5" x14ac:dyDescent="0.35">
      <c r="A13" t="s">
        <v>96</v>
      </c>
      <c r="B13" t="s">
        <v>46</v>
      </c>
      <c r="C13" t="s">
        <v>97</v>
      </c>
      <c r="D13" t="s">
        <v>91</v>
      </c>
      <c r="E13" t="s">
        <v>44</v>
      </c>
    </row>
    <row r="14" spans="1:5" x14ac:dyDescent="0.35">
      <c r="A14" t="s">
        <v>98</v>
      </c>
      <c r="B14" t="s">
        <v>46</v>
      </c>
      <c r="C14" t="s">
        <v>99</v>
      </c>
      <c r="D14" t="s">
        <v>91</v>
      </c>
      <c r="E14" t="s">
        <v>44</v>
      </c>
    </row>
    <row r="15" spans="1:5" x14ac:dyDescent="0.35">
      <c r="A15" t="s">
        <v>100</v>
      </c>
      <c r="B15" t="s">
        <v>46</v>
      </c>
      <c r="C15" t="s">
        <v>101</v>
      </c>
      <c r="D15" t="s">
        <v>91</v>
      </c>
      <c r="E15" t="s">
        <v>44</v>
      </c>
    </row>
    <row r="16" spans="1:5" x14ac:dyDescent="0.35">
      <c r="A16" t="s">
        <v>102</v>
      </c>
      <c r="B16" t="s">
        <v>46</v>
      </c>
      <c r="C16" t="s">
        <v>103</v>
      </c>
      <c r="D16" t="s">
        <v>91</v>
      </c>
      <c r="E16" t="s">
        <v>44</v>
      </c>
    </row>
    <row r="17" spans="1:5" x14ac:dyDescent="0.35">
      <c r="A17" t="s">
        <v>104</v>
      </c>
      <c r="B17" t="s">
        <v>46</v>
      </c>
      <c r="C17" t="s">
        <v>105</v>
      </c>
      <c r="D17" t="s">
        <v>91</v>
      </c>
      <c r="E17" t="s">
        <v>44</v>
      </c>
    </row>
    <row r="18" spans="1:5" x14ac:dyDescent="0.35">
      <c r="A18" t="s">
        <v>106</v>
      </c>
      <c r="B18" t="s">
        <v>46</v>
      </c>
      <c r="C18" t="s">
        <v>107</v>
      </c>
      <c r="D18" t="s">
        <v>91</v>
      </c>
      <c r="E18" t="s">
        <v>44</v>
      </c>
    </row>
    <row r="19" spans="1:5" x14ac:dyDescent="0.35">
      <c r="A19" t="s">
        <v>108</v>
      </c>
      <c r="B19" t="s">
        <v>46</v>
      </c>
      <c r="C19" t="s">
        <v>109</v>
      </c>
      <c r="D19" t="s">
        <v>91</v>
      </c>
      <c r="E19" t="s">
        <v>45</v>
      </c>
    </row>
    <row r="20" spans="1:5" x14ac:dyDescent="0.35">
      <c r="A20" t="s">
        <v>110</v>
      </c>
      <c r="B20" t="s">
        <v>67</v>
      </c>
      <c r="C20" t="s">
        <v>111</v>
      </c>
      <c r="D20" t="s">
        <v>112</v>
      </c>
      <c r="E20" t="s">
        <v>44</v>
      </c>
    </row>
    <row r="21" spans="1:5" x14ac:dyDescent="0.35">
      <c r="A21" t="s">
        <v>113</v>
      </c>
      <c r="B21" t="s">
        <v>67</v>
      </c>
      <c r="C21" t="s">
        <v>114</v>
      </c>
      <c r="D21" t="s">
        <v>112</v>
      </c>
      <c r="E21" t="s">
        <v>44</v>
      </c>
    </row>
    <row r="22" spans="1:5" x14ac:dyDescent="0.35">
      <c r="A22" t="s">
        <v>115</v>
      </c>
      <c r="B22" t="s">
        <v>67</v>
      </c>
      <c r="C22" t="s">
        <v>116</v>
      </c>
      <c r="D22" t="s">
        <v>112</v>
      </c>
      <c r="E22" t="s">
        <v>44</v>
      </c>
    </row>
    <row r="23" spans="1:5" x14ac:dyDescent="0.35">
      <c r="A23" t="s">
        <v>117</v>
      </c>
      <c r="B23" t="s">
        <v>67</v>
      </c>
      <c r="C23" t="s">
        <v>118</v>
      </c>
      <c r="D23" t="s">
        <v>112</v>
      </c>
      <c r="E23" t="s">
        <v>44</v>
      </c>
    </row>
    <row r="24" spans="1:5" x14ac:dyDescent="0.35">
      <c r="A24" t="s">
        <v>119</v>
      </c>
      <c r="B24" t="s">
        <v>67</v>
      </c>
      <c r="C24" t="s">
        <v>120</v>
      </c>
      <c r="D24" t="s">
        <v>112</v>
      </c>
      <c r="E24" t="s">
        <v>44</v>
      </c>
    </row>
    <row r="25" spans="1:5" x14ac:dyDescent="0.35">
      <c r="A25" t="s">
        <v>121</v>
      </c>
      <c r="B25" t="s">
        <v>67</v>
      </c>
      <c r="C25" t="s">
        <v>122</v>
      </c>
      <c r="D25" t="s">
        <v>112</v>
      </c>
      <c r="E25" t="s">
        <v>44</v>
      </c>
    </row>
    <row r="26" spans="1:5" x14ac:dyDescent="0.35">
      <c r="A26" t="s">
        <v>123</v>
      </c>
      <c r="B26" t="s">
        <v>67</v>
      </c>
      <c r="C26" t="s">
        <v>124</v>
      </c>
      <c r="D26" t="s">
        <v>112</v>
      </c>
      <c r="E26" t="s">
        <v>45</v>
      </c>
    </row>
    <row r="27" spans="1:5" x14ac:dyDescent="0.35">
      <c r="A27" t="s">
        <v>125</v>
      </c>
      <c r="B27" t="s">
        <v>68</v>
      </c>
      <c r="C27" t="s">
        <v>126</v>
      </c>
      <c r="D27" t="s">
        <v>127</v>
      </c>
      <c r="E27" t="s">
        <v>44</v>
      </c>
    </row>
    <row r="28" spans="1:5" x14ac:dyDescent="0.35">
      <c r="A28" t="s">
        <v>128</v>
      </c>
      <c r="B28" t="s">
        <v>68</v>
      </c>
      <c r="C28" t="s">
        <v>129</v>
      </c>
      <c r="D28" t="s">
        <v>127</v>
      </c>
      <c r="E28" t="s">
        <v>44</v>
      </c>
    </row>
    <row r="29" spans="1:5" x14ac:dyDescent="0.35">
      <c r="A29" t="s">
        <v>130</v>
      </c>
      <c r="B29" t="s">
        <v>68</v>
      </c>
      <c r="C29" t="s">
        <v>131</v>
      </c>
      <c r="D29" t="s">
        <v>127</v>
      </c>
      <c r="E29" t="s">
        <v>44</v>
      </c>
    </row>
    <row r="30" spans="1:5" x14ac:dyDescent="0.35">
      <c r="A30" t="s">
        <v>132</v>
      </c>
      <c r="B30" t="s">
        <v>68</v>
      </c>
      <c r="C30" t="s">
        <v>133</v>
      </c>
      <c r="D30" t="s">
        <v>127</v>
      </c>
      <c r="E30" t="s">
        <v>44</v>
      </c>
    </row>
    <row r="31" spans="1:5" x14ac:dyDescent="0.35">
      <c r="A31" t="s">
        <v>134</v>
      </c>
      <c r="B31" t="s">
        <v>68</v>
      </c>
      <c r="C31" t="s">
        <v>135</v>
      </c>
      <c r="D31" t="s">
        <v>127</v>
      </c>
      <c r="E31" t="s">
        <v>44</v>
      </c>
    </row>
    <row r="32" spans="1:5" x14ac:dyDescent="0.35">
      <c r="A32" t="s">
        <v>136</v>
      </c>
      <c r="B32" t="s">
        <v>68</v>
      </c>
      <c r="C32" t="s">
        <v>137</v>
      </c>
      <c r="D32" t="s">
        <v>127</v>
      </c>
      <c r="E32" t="s">
        <v>44</v>
      </c>
    </row>
    <row r="33" spans="1:5" x14ac:dyDescent="0.35">
      <c r="A33" t="s">
        <v>138</v>
      </c>
      <c r="B33" t="s">
        <v>68</v>
      </c>
      <c r="C33" t="s">
        <v>139</v>
      </c>
      <c r="D33" t="s">
        <v>127</v>
      </c>
      <c r="E33" t="s">
        <v>44</v>
      </c>
    </row>
    <row r="34" spans="1:5" x14ac:dyDescent="0.35">
      <c r="A34" t="s">
        <v>140</v>
      </c>
      <c r="B34" t="s">
        <v>68</v>
      </c>
      <c r="C34" t="s">
        <v>141</v>
      </c>
      <c r="D34" t="s">
        <v>127</v>
      </c>
      <c r="E34" t="s">
        <v>44</v>
      </c>
    </row>
    <row r="35" spans="1:5" x14ac:dyDescent="0.35">
      <c r="A35" t="s">
        <v>142</v>
      </c>
      <c r="B35" t="s">
        <v>68</v>
      </c>
      <c r="C35" t="s">
        <v>143</v>
      </c>
      <c r="D35" t="s">
        <v>127</v>
      </c>
      <c r="E35" t="s">
        <v>44</v>
      </c>
    </row>
    <row r="36" spans="1:5" x14ac:dyDescent="0.35">
      <c r="A36" t="s">
        <v>144</v>
      </c>
      <c r="B36" t="s">
        <v>68</v>
      </c>
      <c r="C36" t="s">
        <v>145</v>
      </c>
      <c r="D36" t="s">
        <v>127</v>
      </c>
      <c r="E36" t="s">
        <v>45</v>
      </c>
    </row>
    <row r="37" spans="1:5" x14ac:dyDescent="0.35">
      <c r="A37" t="s">
        <v>146</v>
      </c>
      <c r="B37" t="s">
        <v>68</v>
      </c>
      <c r="C37" t="s">
        <v>147</v>
      </c>
      <c r="D37" t="s">
        <v>127</v>
      </c>
      <c r="E37" t="s">
        <v>45</v>
      </c>
    </row>
    <row r="38" spans="1:5" x14ac:dyDescent="0.35">
      <c r="A38" t="s">
        <v>148</v>
      </c>
      <c r="B38" t="s">
        <v>68</v>
      </c>
      <c r="C38" t="s">
        <v>149</v>
      </c>
      <c r="D38" t="s">
        <v>127</v>
      </c>
      <c r="E38" t="s">
        <v>45</v>
      </c>
    </row>
    <row r="39" spans="1:5" x14ac:dyDescent="0.35">
      <c r="A39" t="s">
        <v>150</v>
      </c>
      <c r="B39" t="s">
        <v>33</v>
      </c>
      <c r="C39" t="s">
        <v>151</v>
      </c>
      <c r="D39" t="s">
        <v>152</v>
      </c>
      <c r="E39" t="s">
        <v>44</v>
      </c>
    </row>
    <row r="40" spans="1:5" x14ac:dyDescent="0.35">
      <c r="A40" t="s">
        <v>153</v>
      </c>
      <c r="B40" t="s">
        <v>33</v>
      </c>
      <c r="C40" t="s">
        <v>154</v>
      </c>
      <c r="D40" t="s">
        <v>152</v>
      </c>
      <c r="E40" t="s">
        <v>44</v>
      </c>
    </row>
    <row r="41" spans="1:5" x14ac:dyDescent="0.35">
      <c r="A41" t="s">
        <v>155</v>
      </c>
      <c r="B41" t="s">
        <v>33</v>
      </c>
      <c r="C41" t="s">
        <v>156</v>
      </c>
      <c r="D41" t="s">
        <v>152</v>
      </c>
      <c r="E41" t="s">
        <v>44</v>
      </c>
    </row>
    <row r="42" spans="1:5" x14ac:dyDescent="0.35">
      <c r="A42" t="s">
        <v>157</v>
      </c>
      <c r="B42" t="s">
        <v>33</v>
      </c>
      <c r="C42" t="s">
        <v>158</v>
      </c>
      <c r="D42" t="s">
        <v>152</v>
      </c>
      <c r="E42" t="s">
        <v>44</v>
      </c>
    </row>
    <row r="43" spans="1:5" x14ac:dyDescent="0.35">
      <c r="A43" t="s">
        <v>159</v>
      </c>
      <c r="B43" t="s">
        <v>33</v>
      </c>
      <c r="C43" t="s">
        <v>160</v>
      </c>
      <c r="D43" t="s">
        <v>152</v>
      </c>
      <c r="E43" t="s">
        <v>44</v>
      </c>
    </row>
    <row r="44" spans="1:5" x14ac:dyDescent="0.35">
      <c r="A44" t="s">
        <v>161</v>
      </c>
      <c r="B44" t="s">
        <v>33</v>
      </c>
      <c r="C44" t="s">
        <v>162</v>
      </c>
      <c r="D44" t="s">
        <v>152</v>
      </c>
      <c r="E44" t="s">
        <v>44</v>
      </c>
    </row>
    <row r="45" spans="1:5" x14ac:dyDescent="0.35">
      <c r="A45" t="s">
        <v>163</v>
      </c>
      <c r="B45" t="s">
        <v>33</v>
      </c>
      <c r="C45" t="s">
        <v>164</v>
      </c>
      <c r="D45" t="s">
        <v>152</v>
      </c>
      <c r="E45" t="s">
        <v>44</v>
      </c>
    </row>
    <row r="46" spans="1:5" x14ac:dyDescent="0.35">
      <c r="A46" t="s">
        <v>165</v>
      </c>
      <c r="B46" t="s">
        <v>33</v>
      </c>
      <c r="C46" t="s">
        <v>166</v>
      </c>
      <c r="D46" t="s">
        <v>152</v>
      </c>
      <c r="E46" t="s">
        <v>44</v>
      </c>
    </row>
    <row r="47" spans="1:5" x14ac:dyDescent="0.35">
      <c r="A47" t="s">
        <v>167</v>
      </c>
      <c r="B47" t="s">
        <v>33</v>
      </c>
      <c r="C47" t="s">
        <v>168</v>
      </c>
      <c r="D47" t="s">
        <v>152</v>
      </c>
      <c r="E47" t="s">
        <v>45</v>
      </c>
    </row>
    <row r="48" spans="1:5" x14ac:dyDescent="0.35">
      <c r="A48" t="s">
        <v>169</v>
      </c>
      <c r="B48" t="s">
        <v>37</v>
      </c>
      <c r="C48" t="s">
        <v>170</v>
      </c>
      <c r="D48" t="s">
        <v>171</v>
      </c>
      <c r="E48" t="s">
        <v>44</v>
      </c>
    </row>
    <row r="49" spans="1:5" x14ac:dyDescent="0.35">
      <c r="A49" t="s">
        <v>172</v>
      </c>
      <c r="B49" t="s">
        <v>37</v>
      </c>
      <c r="C49" t="s">
        <v>173</v>
      </c>
      <c r="D49" t="s">
        <v>171</v>
      </c>
      <c r="E49" t="s">
        <v>44</v>
      </c>
    </row>
    <row r="50" spans="1:5" x14ac:dyDescent="0.35">
      <c r="A50" t="s">
        <v>174</v>
      </c>
      <c r="B50" t="s">
        <v>37</v>
      </c>
      <c r="C50" t="s">
        <v>175</v>
      </c>
      <c r="D50" t="s">
        <v>171</v>
      </c>
      <c r="E50" t="s">
        <v>44</v>
      </c>
    </row>
    <row r="51" spans="1:5" x14ac:dyDescent="0.35">
      <c r="A51" t="s">
        <v>176</v>
      </c>
      <c r="B51" t="s">
        <v>37</v>
      </c>
      <c r="C51" t="s">
        <v>177</v>
      </c>
      <c r="D51" t="s">
        <v>171</v>
      </c>
      <c r="E51" t="s">
        <v>44</v>
      </c>
    </row>
    <row r="52" spans="1:5" x14ac:dyDescent="0.35">
      <c r="A52" t="s">
        <v>178</v>
      </c>
      <c r="B52" t="s">
        <v>37</v>
      </c>
      <c r="C52" t="s">
        <v>179</v>
      </c>
      <c r="D52" t="s">
        <v>171</v>
      </c>
      <c r="E52" t="s">
        <v>44</v>
      </c>
    </row>
    <row r="53" spans="1:5" x14ac:dyDescent="0.35">
      <c r="A53" t="s">
        <v>180</v>
      </c>
      <c r="B53" t="s">
        <v>37</v>
      </c>
      <c r="C53" t="s">
        <v>181</v>
      </c>
      <c r="D53" t="s">
        <v>171</v>
      </c>
      <c r="E53" t="s">
        <v>44</v>
      </c>
    </row>
    <row r="54" spans="1:5" x14ac:dyDescent="0.35">
      <c r="A54" t="s">
        <v>182</v>
      </c>
      <c r="B54" t="s">
        <v>37</v>
      </c>
      <c r="C54" t="s">
        <v>183</v>
      </c>
      <c r="D54" t="s">
        <v>171</v>
      </c>
      <c r="E54" t="s">
        <v>44</v>
      </c>
    </row>
    <row r="55" spans="1:5" x14ac:dyDescent="0.35">
      <c r="A55" t="s">
        <v>184</v>
      </c>
      <c r="B55" t="s">
        <v>37</v>
      </c>
      <c r="C55" t="s">
        <v>185</v>
      </c>
      <c r="D55" t="s">
        <v>171</v>
      </c>
      <c r="E55" t="s">
        <v>44</v>
      </c>
    </row>
    <row r="56" spans="1:5" x14ac:dyDescent="0.35">
      <c r="A56" t="s">
        <v>186</v>
      </c>
      <c r="B56" t="s">
        <v>37</v>
      </c>
      <c r="C56" t="s">
        <v>187</v>
      </c>
      <c r="D56" t="s">
        <v>171</v>
      </c>
      <c r="E56" t="s">
        <v>44</v>
      </c>
    </row>
    <row r="57" spans="1:5" x14ac:dyDescent="0.35">
      <c r="A57" t="s">
        <v>188</v>
      </c>
      <c r="B57" t="s">
        <v>37</v>
      </c>
      <c r="C57" t="s">
        <v>189</v>
      </c>
      <c r="D57" t="s">
        <v>171</v>
      </c>
      <c r="E57" t="s">
        <v>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8"/>
  <sheetViews>
    <sheetView workbookViewId="0"/>
  </sheetViews>
  <sheetFormatPr defaultRowHeight="14.5" x14ac:dyDescent="0.35"/>
  <sheetData>
    <row r="1" spans="1:5" x14ac:dyDescent="0.35">
      <c r="A1" s="1" t="s">
        <v>47</v>
      </c>
    </row>
    <row r="2" spans="1:5" x14ac:dyDescent="0.35">
      <c r="A2" t="s">
        <v>39</v>
      </c>
      <c r="B2" t="s">
        <v>48</v>
      </c>
      <c r="C2" t="s">
        <v>49</v>
      </c>
      <c r="D2" t="s">
        <v>50</v>
      </c>
      <c r="E2" t="s">
        <v>51</v>
      </c>
    </row>
    <row r="3" spans="1:5" x14ac:dyDescent="0.35">
      <c r="A3" t="s">
        <v>18</v>
      </c>
      <c r="B3">
        <v>4</v>
      </c>
      <c r="C3">
        <v>3</v>
      </c>
      <c r="D3">
        <v>1</v>
      </c>
      <c r="E3">
        <f>3/4</f>
        <v>0.75</v>
      </c>
    </row>
    <row r="4" spans="1:5" x14ac:dyDescent="0.35">
      <c r="A4" t="s">
        <v>46</v>
      </c>
      <c r="B4">
        <v>3</v>
      </c>
      <c r="C4">
        <v>2</v>
      </c>
      <c r="D4">
        <v>1</v>
      </c>
      <c r="E4">
        <f>2/3</f>
        <v>0.66666666666666663</v>
      </c>
    </row>
    <row r="5" spans="1:5" x14ac:dyDescent="0.35">
      <c r="A5" t="s">
        <v>26</v>
      </c>
      <c r="B5">
        <v>3</v>
      </c>
      <c r="C5">
        <v>2</v>
      </c>
      <c r="D5">
        <v>1</v>
      </c>
      <c r="E5">
        <f>2/3</f>
        <v>0.66666666666666663</v>
      </c>
    </row>
    <row r="6" spans="1:5" x14ac:dyDescent="0.35">
      <c r="A6" t="s">
        <v>30</v>
      </c>
      <c r="B6">
        <v>4</v>
      </c>
      <c r="C6">
        <v>4</v>
      </c>
      <c r="D6">
        <v>0</v>
      </c>
      <c r="E6">
        <f>4/4</f>
        <v>1</v>
      </c>
    </row>
    <row r="7" spans="1:5" x14ac:dyDescent="0.35">
      <c r="A7" t="s">
        <v>33</v>
      </c>
      <c r="B7">
        <v>3</v>
      </c>
      <c r="C7">
        <v>3</v>
      </c>
      <c r="D7">
        <v>0</v>
      </c>
      <c r="E7">
        <f>3/3</f>
        <v>1</v>
      </c>
    </row>
    <row r="8" spans="1:5" x14ac:dyDescent="0.35">
      <c r="A8" t="s">
        <v>37</v>
      </c>
      <c r="B8">
        <v>3</v>
      </c>
      <c r="C8">
        <v>2</v>
      </c>
      <c r="D8">
        <v>1</v>
      </c>
      <c r="E8">
        <f>2/3</f>
        <v>0.66666666666666663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14"/>
  <sheetViews>
    <sheetView tabSelected="1" workbookViewId="0">
      <selection activeCell="D1" sqref="D1"/>
    </sheetView>
  </sheetViews>
  <sheetFormatPr defaultRowHeight="14.5" x14ac:dyDescent="0.35"/>
  <cols>
    <col min="3" max="3" width="35.7265625" customWidth="1"/>
  </cols>
  <sheetData>
    <row r="1" spans="1:6" x14ac:dyDescent="0.35">
      <c r="A1" s="2" t="s">
        <v>52</v>
      </c>
      <c r="B1" s="2" t="s">
        <v>39</v>
      </c>
      <c r="C1" s="2" t="s">
        <v>69</v>
      </c>
      <c r="D1" s="2" t="s">
        <v>53</v>
      </c>
      <c r="E1" s="2" t="s">
        <v>14</v>
      </c>
      <c r="F1" s="2" t="s">
        <v>43</v>
      </c>
    </row>
    <row r="2" spans="1:6" x14ac:dyDescent="0.35">
      <c r="A2" t="s">
        <v>190</v>
      </c>
      <c r="B2" t="s">
        <v>18</v>
      </c>
      <c r="C2" t="s">
        <v>191</v>
      </c>
      <c r="D2" t="s">
        <v>19</v>
      </c>
      <c r="E2" t="s">
        <v>19</v>
      </c>
      <c r="F2" t="s">
        <v>54</v>
      </c>
    </row>
    <row r="3" spans="1:6" x14ac:dyDescent="0.35">
      <c r="A3" t="s">
        <v>192</v>
      </c>
      <c r="B3" t="s">
        <v>46</v>
      </c>
      <c r="C3" t="s">
        <v>193</v>
      </c>
      <c r="D3" t="s">
        <v>27</v>
      </c>
      <c r="E3" t="s">
        <v>19</v>
      </c>
      <c r="F3" t="s">
        <v>54</v>
      </c>
    </row>
    <row r="4" spans="1:6" x14ac:dyDescent="0.35">
      <c r="A4" t="s">
        <v>194</v>
      </c>
      <c r="B4" t="s">
        <v>67</v>
      </c>
      <c r="C4" t="s">
        <v>195</v>
      </c>
      <c r="D4" t="s">
        <v>56</v>
      </c>
      <c r="E4" t="s">
        <v>27</v>
      </c>
      <c r="F4" t="s">
        <v>54</v>
      </c>
    </row>
    <row r="5" spans="1:6" x14ac:dyDescent="0.35">
      <c r="A5" t="s">
        <v>196</v>
      </c>
      <c r="B5" t="s">
        <v>68</v>
      </c>
      <c r="C5" t="s">
        <v>197</v>
      </c>
      <c r="D5" t="s">
        <v>34</v>
      </c>
      <c r="E5" t="s">
        <v>19</v>
      </c>
      <c r="F5" t="s">
        <v>54</v>
      </c>
    </row>
    <row r="6" spans="1:6" x14ac:dyDescent="0.35">
      <c r="A6" t="s">
        <v>198</v>
      </c>
      <c r="B6" t="s">
        <v>68</v>
      </c>
      <c r="C6" t="s">
        <v>199</v>
      </c>
      <c r="D6" t="s">
        <v>19</v>
      </c>
      <c r="E6" t="s">
        <v>19</v>
      </c>
      <c r="F6" t="s">
        <v>54</v>
      </c>
    </row>
    <row r="7" spans="1:6" x14ac:dyDescent="0.35">
      <c r="A7" t="s">
        <v>200</v>
      </c>
      <c r="B7" t="s">
        <v>68</v>
      </c>
      <c r="C7" t="s">
        <v>201</v>
      </c>
      <c r="D7" t="s">
        <v>27</v>
      </c>
      <c r="E7" t="s">
        <v>27</v>
      </c>
      <c r="F7" t="s">
        <v>54</v>
      </c>
    </row>
    <row r="8" spans="1:6" x14ac:dyDescent="0.35">
      <c r="A8" t="s">
        <v>202</v>
      </c>
      <c r="B8" t="s">
        <v>33</v>
      </c>
      <c r="C8" t="s">
        <v>55</v>
      </c>
      <c r="D8" t="s">
        <v>34</v>
      </c>
      <c r="E8" t="s">
        <v>19</v>
      </c>
      <c r="F8" t="s">
        <v>54</v>
      </c>
    </row>
    <row r="9" spans="1:6" x14ac:dyDescent="0.35">
      <c r="A9" t="s">
        <v>203</v>
      </c>
      <c r="B9" t="s">
        <v>37</v>
      </c>
      <c r="C9" t="s">
        <v>204</v>
      </c>
      <c r="D9" t="s">
        <v>27</v>
      </c>
      <c r="E9" t="s">
        <v>27</v>
      </c>
      <c r="F9" t="s">
        <v>54</v>
      </c>
    </row>
    <row r="10" spans="1:6" x14ac:dyDescent="0.35">
      <c r="A10" t="s">
        <v>205</v>
      </c>
      <c r="B10" t="s">
        <v>18</v>
      </c>
      <c r="C10" t="s">
        <v>206</v>
      </c>
      <c r="D10" t="s">
        <v>56</v>
      </c>
      <c r="E10" t="s">
        <v>56</v>
      </c>
      <c r="F10" t="s">
        <v>54</v>
      </c>
    </row>
    <row r="11" spans="1:6" x14ac:dyDescent="0.35">
      <c r="A11" t="s">
        <v>207</v>
      </c>
      <c r="B11" t="s">
        <v>46</v>
      </c>
      <c r="C11" t="s">
        <v>208</v>
      </c>
      <c r="D11" t="s">
        <v>27</v>
      </c>
      <c r="E11" t="s">
        <v>27</v>
      </c>
      <c r="F11" t="s">
        <v>54</v>
      </c>
    </row>
    <row r="12" spans="1:6" x14ac:dyDescent="0.35">
      <c r="A12" t="s">
        <v>209</v>
      </c>
      <c r="B12" t="s">
        <v>67</v>
      </c>
      <c r="C12" t="s">
        <v>210</v>
      </c>
      <c r="D12" t="s">
        <v>56</v>
      </c>
      <c r="E12" t="s">
        <v>56</v>
      </c>
      <c r="F12" t="s">
        <v>54</v>
      </c>
    </row>
    <row r="13" spans="1:6" x14ac:dyDescent="0.35">
      <c r="A13" t="s">
        <v>211</v>
      </c>
      <c r="B13" t="s">
        <v>33</v>
      </c>
      <c r="C13" t="s">
        <v>212</v>
      </c>
      <c r="D13" t="s">
        <v>34</v>
      </c>
      <c r="E13" t="s">
        <v>19</v>
      </c>
      <c r="F13" t="s">
        <v>54</v>
      </c>
    </row>
    <row r="14" spans="1:6" x14ac:dyDescent="0.35">
      <c r="A14" t="s">
        <v>213</v>
      </c>
      <c r="B14" t="s">
        <v>37</v>
      </c>
      <c r="C14" t="s">
        <v>214</v>
      </c>
      <c r="D14" t="s">
        <v>56</v>
      </c>
      <c r="E14" t="s">
        <v>56</v>
      </c>
      <c r="F14" t="s">
        <v>54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8"/>
  <sheetViews>
    <sheetView workbookViewId="0"/>
  </sheetViews>
  <sheetFormatPr defaultRowHeight="14.5" x14ac:dyDescent="0.35"/>
  <cols>
    <col min="4" max="4" width="16.1796875" customWidth="1"/>
  </cols>
  <sheetData>
    <row r="1" spans="1:7" x14ac:dyDescent="0.35">
      <c r="A1" s="2" t="s">
        <v>215</v>
      </c>
      <c r="B1" s="2" t="s">
        <v>216</v>
      </c>
      <c r="C1" s="2" t="s">
        <v>57</v>
      </c>
      <c r="D1" s="2" t="s">
        <v>40</v>
      </c>
      <c r="E1" s="2" t="s">
        <v>41</v>
      </c>
      <c r="F1" s="2" t="s">
        <v>42</v>
      </c>
      <c r="G1" s="2" t="s">
        <v>43</v>
      </c>
    </row>
    <row r="2" spans="1:7" x14ac:dyDescent="0.35">
      <c r="A2" t="s">
        <v>217</v>
      </c>
      <c r="B2" t="s">
        <v>60</v>
      </c>
      <c r="C2" t="s">
        <v>59</v>
      </c>
      <c r="D2" t="s">
        <v>218</v>
      </c>
      <c r="E2" t="s">
        <v>219</v>
      </c>
      <c r="F2" t="s">
        <v>219</v>
      </c>
      <c r="G2" t="s">
        <v>44</v>
      </c>
    </row>
    <row r="3" spans="1:7" x14ac:dyDescent="0.35">
      <c r="A3" t="s">
        <v>220</v>
      </c>
      <c r="B3" t="s">
        <v>58</v>
      </c>
      <c r="C3" t="s">
        <v>59</v>
      </c>
      <c r="D3" t="s">
        <v>221</v>
      </c>
      <c r="E3" t="s">
        <v>222</v>
      </c>
      <c r="F3" t="s">
        <v>222</v>
      </c>
      <c r="G3" t="s">
        <v>44</v>
      </c>
    </row>
    <row r="4" spans="1:7" x14ac:dyDescent="0.35">
      <c r="A4" t="s">
        <v>223</v>
      </c>
      <c r="B4" t="s">
        <v>61</v>
      </c>
      <c r="C4" t="s">
        <v>62</v>
      </c>
      <c r="D4" t="s">
        <v>224</v>
      </c>
      <c r="E4" t="s">
        <v>222</v>
      </c>
      <c r="F4" t="s">
        <v>222</v>
      </c>
      <c r="G4" t="s">
        <v>44</v>
      </c>
    </row>
    <row r="5" spans="1:7" x14ac:dyDescent="0.35">
      <c r="A5" t="s">
        <v>225</v>
      </c>
      <c r="B5" t="s">
        <v>63</v>
      </c>
      <c r="C5" t="s">
        <v>62</v>
      </c>
      <c r="D5" t="s">
        <v>226</v>
      </c>
      <c r="E5" t="s">
        <v>222</v>
      </c>
      <c r="F5" t="s">
        <v>222</v>
      </c>
      <c r="G5" t="s">
        <v>44</v>
      </c>
    </row>
    <row r="6" spans="1:7" x14ac:dyDescent="0.35">
      <c r="A6" t="s">
        <v>227</v>
      </c>
      <c r="B6" t="s">
        <v>64</v>
      </c>
      <c r="C6" t="s">
        <v>59</v>
      </c>
      <c r="D6" t="s">
        <v>228</v>
      </c>
      <c r="E6" t="s">
        <v>219</v>
      </c>
      <c r="F6" t="s">
        <v>229</v>
      </c>
      <c r="G6" t="s">
        <v>45</v>
      </c>
    </row>
    <row r="7" spans="1:7" x14ac:dyDescent="0.35">
      <c r="A7" t="s">
        <v>230</v>
      </c>
      <c r="B7" t="s">
        <v>65</v>
      </c>
      <c r="C7" t="s">
        <v>59</v>
      </c>
      <c r="D7" t="s">
        <v>231</v>
      </c>
      <c r="E7" t="s">
        <v>222</v>
      </c>
      <c r="F7" t="s">
        <v>232</v>
      </c>
      <c r="G7" t="s">
        <v>45</v>
      </c>
    </row>
    <row r="8" spans="1:7" x14ac:dyDescent="0.35">
      <c r="A8" t="s">
        <v>233</v>
      </c>
      <c r="B8" t="s">
        <v>66</v>
      </c>
      <c r="C8" t="s">
        <v>62</v>
      </c>
      <c r="D8" t="s">
        <v>234</v>
      </c>
      <c r="E8" t="s">
        <v>222</v>
      </c>
      <c r="F8" t="s">
        <v>222</v>
      </c>
      <c r="G8" t="s">
        <v>44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8"/>
  <sheetViews>
    <sheetView workbookViewId="0"/>
  </sheetViews>
  <sheetFormatPr defaultRowHeight="14.5" x14ac:dyDescent="0.35"/>
  <sheetData>
    <row r="1" spans="1:5" x14ac:dyDescent="0.35">
      <c r="A1" s="2" t="s">
        <v>235</v>
      </c>
      <c r="B1" s="2" t="s">
        <v>236</v>
      </c>
      <c r="C1" s="2" t="s">
        <v>237</v>
      </c>
      <c r="D1" s="2" t="s">
        <v>41</v>
      </c>
      <c r="E1" s="2" t="s">
        <v>43</v>
      </c>
    </row>
    <row r="2" spans="1:5" x14ac:dyDescent="0.35">
      <c r="A2" t="s">
        <v>238</v>
      </c>
      <c r="B2" t="s">
        <v>18</v>
      </c>
      <c r="C2" t="s">
        <v>239</v>
      </c>
      <c r="D2" t="s">
        <v>240</v>
      </c>
      <c r="E2" t="s">
        <v>44</v>
      </c>
    </row>
    <row r="3" spans="1:5" x14ac:dyDescent="0.35">
      <c r="A3" t="s">
        <v>241</v>
      </c>
      <c r="B3" t="s">
        <v>46</v>
      </c>
      <c r="C3" t="s">
        <v>242</v>
      </c>
      <c r="D3" t="s">
        <v>243</v>
      </c>
      <c r="E3" t="s">
        <v>44</v>
      </c>
    </row>
    <row r="4" spans="1:5" x14ac:dyDescent="0.35">
      <c r="A4" t="s">
        <v>244</v>
      </c>
      <c r="B4" t="s">
        <v>245</v>
      </c>
      <c r="C4" t="s">
        <v>246</v>
      </c>
      <c r="D4" t="s">
        <v>246</v>
      </c>
      <c r="E4" t="s">
        <v>44</v>
      </c>
    </row>
    <row r="5" spans="1:5" x14ac:dyDescent="0.35">
      <c r="A5" t="s">
        <v>247</v>
      </c>
      <c r="B5" t="s">
        <v>248</v>
      </c>
      <c r="C5" t="s">
        <v>249</v>
      </c>
      <c r="D5" t="s">
        <v>250</v>
      </c>
      <c r="E5" t="s">
        <v>45</v>
      </c>
    </row>
    <row r="6" spans="1:5" x14ac:dyDescent="0.35">
      <c r="A6" t="s">
        <v>251</v>
      </c>
      <c r="B6" t="s">
        <v>68</v>
      </c>
      <c r="C6" t="s">
        <v>252</v>
      </c>
      <c r="D6" t="s">
        <v>253</v>
      </c>
      <c r="E6" t="s">
        <v>45</v>
      </c>
    </row>
    <row r="7" spans="1:5" x14ac:dyDescent="0.35">
      <c r="A7" t="s">
        <v>254</v>
      </c>
      <c r="B7" t="s">
        <v>33</v>
      </c>
      <c r="C7" t="s">
        <v>255</v>
      </c>
      <c r="D7" t="s">
        <v>256</v>
      </c>
      <c r="E7" t="s">
        <v>44</v>
      </c>
    </row>
    <row r="8" spans="1:5" x14ac:dyDescent="0.35">
      <c r="A8" t="s">
        <v>257</v>
      </c>
      <c r="B8" t="s">
        <v>37</v>
      </c>
      <c r="C8" t="s">
        <v>258</v>
      </c>
      <c r="D8" t="s">
        <v>259</v>
      </c>
      <c r="E8" t="s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Test_Plan</vt:lpstr>
      <vt:lpstr>RTM</vt:lpstr>
      <vt:lpstr>Manual Test Cases</vt:lpstr>
      <vt:lpstr>Test_Execution</vt:lpstr>
      <vt:lpstr>Bug Reports</vt:lpstr>
      <vt:lpstr>API Testing</vt:lpstr>
      <vt:lpstr>UI Testing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yashvigadhiya007@outlook.com</cp:lastModifiedBy>
  <dcterms:created xsi:type="dcterms:W3CDTF">2026-07-06T04:58:43Z</dcterms:created>
  <dcterms:modified xsi:type="dcterms:W3CDTF">2026-07-07T10:24:46Z</dcterms:modified>
</cp:coreProperties>
</file>